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line" sheetId="2" state="visible" r:id="rId2"/>
    <sheet name="Event_Log" sheetId="3" state="visible" r:id="rId3"/>
    <sheet name="Clip_Register" sheetId="4" state="visible" r:id="rId4"/>
    <sheet name="Gaps" sheetId="5" state="visible" r:id="rId5"/>
    <sheet name="Proc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d dd/mm/yyyy"/>
    <numFmt numFmtId="166" formatCode="ddd dd/mm"/>
    <numFmt numFmtId="167" formatCode="hh:mm:ss"/>
    <numFmt numFmtId="168" formatCode="[hh]:mm:ss"/>
    <numFmt numFmtId="169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C00000"/>
      <sz val="10"/>
    </font>
    <font>
      <name val="Arial"/>
      <color theme="1"/>
      <sz val="1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0" borderId="0" pivotButton="0" quotePrefix="0" xfId="0"/>
    <xf numFmtId="165" fontId="6" fillId="0" borderId="1" applyAlignment="1" pivotButton="0" quotePrefix="0" xfId="0">
      <alignment vertical="top" wrapText="1"/>
    </xf>
    <xf numFmtId="166" fontId="6" fillId="0" borderId="1" applyAlignment="1" pivotButton="0" quotePrefix="0" xfId="0">
      <alignment vertical="top" wrapText="1"/>
    </xf>
    <xf numFmtId="167" fontId="6" fillId="0" borderId="1" applyAlignment="1" pivotButton="0" quotePrefix="0" xfId="0">
      <alignment vertical="top" wrapText="1"/>
    </xf>
    <xf numFmtId="46" fontId="6" fillId="0" borderId="1" applyAlignment="1" pivotButton="0" quotePrefix="0" xfId="0">
      <alignment vertical="top" wrapText="1"/>
    </xf>
    <xf numFmtId="166" fontId="6" fillId="4" borderId="1" applyAlignment="1" pivotButton="0" quotePrefix="0" xfId="0">
      <alignment vertical="top" wrapText="1"/>
    </xf>
    <xf numFmtId="167" fontId="6" fillId="4" borderId="1" applyAlignment="1" pivotButton="0" quotePrefix="0" xfId="0">
      <alignment vertical="top" wrapText="1"/>
    </xf>
    <xf numFmtId="46" fontId="6" fillId="4" borderId="1" applyAlignment="1" pivotButton="0" quotePrefix="0" xfId="0">
      <alignment vertical="top" wrapText="1"/>
    </xf>
    <xf numFmtId="166" fontId="6" fillId="3" borderId="1" applyAlignment="1" pivotButton="0" quotePrefix="0" xfId="0">
      <alignment vertical="top" wrapText="1"/>
    </xf>
    <xf numFmtId="167" fontId="6" fillId="3" borderId="1" applyAlignment="1" pivotButton="0" quotePrefix="0" xfId="0">
      <alignment vertical="top" wrapText="1"/>
    </xf>
    <xf numFmtId="46" fontId="6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46" fontId="6" fillId="5" borderId="1" applyAlignment="1" pivotButton="0" quotePrefix="0" xfId="0">
      <alignment vertical="top" wrapText="1"/>
    </xf>
    <xf numFmtId="169" fontId="6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26" customWidth="1" min="3" max="3"/>
    <col width="5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Vehicle Conduct Review - Evidence Pack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Vehicle: 'king Javiar' (Raptor, BlackVue via Fleeta Cloud).  Driver: Javiar Cartledge.  Prepared 06/09/2026.  CONFIDENTIAL - HR file.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Item</t>
        </is>
      </c>
      <c r="B4" s="4" t="inlineStr">
        <is>
          <t>Finding / status</t>
        </is>
      </c>
      <c r="C4" s="4" t="inlineStr">
        <is>
          <t>Source</t>
        </is>
      </c>
      <c r="D4" s="4" t="inlineStr">
        <is>
          <t>Next action</t>
        </is>
      </c>
      <c r="E4" s="2" t="n"/>
      <c r="F4" s="2" t="n"/>
      <c r="G4" s="2" t="n"/>
    </row>
    <row r="5">
      <c r="A5" s="5" t="inlineStr">
        <is>
          <t>Fri 28 Aug &amp; Sat 29 Aug - grey days in Fleeta</t>
        </is>
      </c>
      <c r="B5" s="5" t="inlineStr">
        <is>
          <t>0 jobs allocated to Javiar either day (other techs had 5 jobs on 28/08). Zero camera events is consistent with the vehicle not being driven. Not evidence of a fault or of concealment.</t>
        </is>
      </c>
      <c r="C5" s="5" t="inlineStr">
        <is>
          <t>ServiceM8 schedule, Fleeta calendar</t>
        </is>
      </c>
      <c r="D5" s="5" t="inlineStr">
        <is>
          <t>Close out. Optional: Fleeta Trip History 28-29/08 to confirm zero ignition.</t>
        </is>
      </c>
      <c r="E5" s="2" t="n"/>
      <c r="F5" s="2" t="n"/>
      <c r="G5" s="2" t="n"/>
    </row>
    <row r="6">
      <c r="A6" s="5" t="inlineStr">
        <is>
          <t>Fri 4 Sep - 40+ triggered events</t>
        </is>
      </c>
      <c r="B6" s="5" t="inlineStr">
        <is>
          <t>7 stops, ~180 km (estimate), Sunnybank &gt; Fortitude Valley &gt; Thornlands &gt; Murarrie &gt; Morayfield &gt; Narangba &gt; Murrumba Downs. Long motorway legs. Arrived 63 min early to last job. One 33-second non-customer stop (Narangba, 'drop cash', staff address).</t>
        </is>
      </c>
      <c r="C6" s="5" t="inlineStr">
        <is>
          <t>ServiceM8 diaries + Fleeta</t>
        </is>
      </c>
      <c r="D6" s="5" t="inlineStr">
        <is>
          <t>Match every event to a leg on the Timeline sheet. Download all Driving Impact clips.</t>
        </is>
      </c>
      <c r="E6" s="2" t="n"/>
      <c r="F6" s="2" t="n"/>
      <c r="G6" s="2" t="n"/>
    </row>
    <row r="7">
      <c r="A7" s="5" t="inlineStr">
        <is>
          <t>Sat 5 Sep - 17 events 07:03-08:34</t>
        </is>
      </c>
      <c r="B7" s="5" t="inlineStr">
        <is>
          <t>Chapel Hill job (booked 08:00): travel clock started 05:19, checked out 07:46 with 4 seconds on site, job not done. Then bed bug job South Brisbane 08:11-08:20 (9 min, 1 mandatory task skipped). Parked 08:34 (Parking Impact). Reported sick by ~11:07; Jason took his 11:15 job.</t>
        </is>
      </c>
      <c r="C7" s="5" t="inlineStr">
        <is>
          <t>ServiceM8 diaries + Fleeta</t>
        </is>
      </c>
      <c r="D7" s="5" t="inlineStr">
        <is>
          <t>PRIORITY: Fleeta Trip History 05:00-08:40 on 05/09 to account for the 2h27m. Download all 17 clips.</t>
        </is>
      </c>
      <c r="E7" s="2" t="n"/>
      <c r="F7" s="2" t="n"/>
      <c r="G7" s="2" t="n"/>
    </row>
    <row r="8">
      <c r="A8" s="5" t="inlineStr">
        <is>
          <t>Cabin audio</t>
        </is>
      </c>
      <c r="B8" s="6" t="inlineStr">
        <is>
          <t>Unknown until a clip is opened. Qld Invasion of Privacy Act 1971 s43: recording a private conversation you are not party to is an offence. If audio is ON, do NOT listen, share or rely on it until a lawyer has advised. Treat it as a liability, not an asset.</t>
        </is>
      </c>
      <c r="C8" s="5" t="inlineStr">
        <is>
          <t>BlackVue config</t>
        </is>
      </c>
      <c r="D8" s="5" t="inlineStr">
        <is>
          <t>Check camera audio setting. Get legal advice before any use. Consider turning audio OFF fleet-wide with written notice.</t>
        </is>
      </c>
      <c r="E8" s="2" t="n"/>
      <c r="F8" s="2" t="n"/>
      <c r="G8" s="2" t="n"/>
    </row>
    <row r="9">
      <c r="A9" s="5" t="inlineStr">
        <is>
          <t>SD card</t>
        </is>
      </c>
      <c r="B9" s="7" t="inlineStr">
        <is>
          <t>August already overwritten. September continuous footage still on card but cycling. Cloud only holds trigger clips, the card holds the footage BETWEEN triggers (the real driving picture).</t>
        </is>
      </c>
      <c r="C9" s="5" t="inlineStr">
        <is>
          <t>BlackVue SD picker</t>
        </is>
      </c>
      <c r="D9" s="5" t="inlineStr">
        <is>
          <t>Pull the card Mon 07/09 before the vehicle moves. Image it, hash it, bag it. Fit a fresh formatted card.</t>
        </is>
      </c>
      <c r="E9" s="2" t="n"/>
      <c r="F9" s="2" t="n"/>
      <c r="G9" s="2" t="n"/>
    </row>
    <row r="10">
      <c r="A10" s="5" t="inlineStr">
        <is>
          <t>Passenger</t>
        </is>
      </c>
      <c r="B10" s="5" t="inlineStr">
        <is>
          <t>Identity, role (staff / trainee / customer / other) and whether they have made a complaint are not yet on file. This decides which process runs: driving/WHS conduct, or harassment complaint (positive duty), or both.</t>
        </is>
      </c>
      <c r="C10" s="5" t="inlineStr">
        <is>
          <t>Jason</t>
        </is>
      </c>
      <c r="D10" s="5" t="inlineStr">
        <is>
          <t>Confirm before the allegations letter is drafted. If a complaint exists, the complainant's account comes first.</t>
        </is>
      </c>
      <c r="E10" s="2" t="n"/>
      <c r="F10" s="2" t="n"/>
      <c r="G10" s="2" t="n"/>
    </row>
    <row r="11">
      <c r="A11" s="5" t="inlineStr">
        <is>
          <t>Process risk</t>
        </is>
      </c>
      <c r="B11" s="5" t="inlineStr">
        <is>
          <t>Driver shares the owner's surname. Perceived conflict of interest in any disciplinary outcome. Small business (&lt;15 staff): Small Business Fair Dismissal Code applies but procedural fairness is still required.</t>
        </is>
      </c>
      <c r="C11" s="5" t="inlineStr">
        <is>
          <t>Staff list</t>
        </is>
      </c>
      <c r="D11" s="5" t="inlineStr">
        <is>
          <t>Have an independent person (external HR adviser) run the meeting and record it.</t>
        </is>
      </c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8" t="inlineStr">
        <is>
          <t>Event counts (live from Event_Log sheet)</t>
        </is>
      </c>
      <c r="B13" s="2" t="n"/>
      <c r="C13" s="2" t="n"/>
      <c r="D13" s="2" t="n"/>
      <c r="E13" s="2" t="n"/>
      <c r="F13" s="2" t="n"/>
      <c r="G13" s="2" t="n"/>
    </row>
    <row r="14">
      <c r="A14" s="4" t="inlineStr">
        <is>
          <t>Date</t>
        </is>
      </c>
      <c r="B14" s="4" t="inlineStr">
        <is>
          <t>Total events</t>
        </is>
      </c>
      <c r="C14" s="4" t="inlineStr">
        <is>
          <t>Driving Impact</t>
        </is>
      </c>
      <c r="D14" s="4" t="inlineStr">
        <is>
          <t>Hard Braking</t>
        </is>
      </c>
      <c r="E14" s="4" t="inlineStr">
        <is>
          <t>Hard Cornering</t>
        </is>
      </c>
      <c r="F14" s="4" t="inlineStr">
        <is>
          <t>Hard Acceleration</t>
        </is>
      </c>
      <c r="G14" s="4" t="inlineStr">
        <is>
          <t>Parking Impact</t>
        </is>
      </c>
    </row>
    <row r="15">
      <c r="A15" s="9" t="n">
        <v>46262</v>
      </c>
      <c r="B15" s="5">
        <f>COUNTIF(Event_Log!$A:$A,A15)</f>
        <v/>
      </c>
      <c r="C15" s="5">
        <f>COUNTIFS(Event_Log!$A:$A,A15,Event_Log!$C:$C,"Driving Impact")</f>
        <v/>
      </c>
      <c r="D15" s="5">
        <f>COUNTIFS(Event_Log!$A:$A,A15,Event_Log!$C:$C,"Hard Braking")</f>
        <v/>
      </c>
      <c r="E15" s="5">
        <f>COUNTIFS(Event_Log!$A:$A,A15,Event_Log!$C:$C,"Hard Cornering")</f>
        <v/>
      </c>
      <c r="F15" s="5">
        <f>COUNTIFS(Event_Log!$A:$A,A15,Event_Log!$C:$C,"Hard Acceleration")</f>
        <v/>
      </c>
      <c r="G15" s="5">
        <f>COUNTIFS(Event_Log!$A:$A,A15,Event_Log!$C:$C,"Parking Impact")</f>
        <v/>
      </c>
    </row>
    <row r="16">
      <c r="A16" s="9" t="n">
        <v>46263</v>
      </c>
      <c r="B16" s="5">
        <f>COUNTIF(Event_Log!$A:$A,A16)</f>
        <v/>
      </c>
      <c r="C16" s="5">
        <f>COUNTIFS(Event_Log!$A:$A,A16,Event_Log!$C:$C,"Driving Impact")</f>
        <v/>
      </c>
      <c r="D16" s="5">
        <f>COUNTIFS(Event_Log!$A:$A,A16,Event_Log!$C:$C,"Hard Braking")</f>
        <v/>
      </c>
      <c r="E16" s="5">
        <f>COUNTIFS(Event_Log!$A:$A,A16,Event_Log!$C:$C,"Hard Cornering")</f>
        <v/>
      </c>
      <c r="F16" s="5">
        <f>COUNTIFS(Event_Log!$A:$A,A16,Event_Log!$C:$C,"Hard Acceleration")</f>
        <v/>
      </c>
      <c r="G16" s="5">
        <f>COUNTIFS(Event_Log!$A:$A,A16,Event_Log!$C:$C,"Parking Impact")</f>
        <v/>
      </c>
    </row>
    <row r="17">
      <c r="A17" s="9" t="n">
        <v>46269</v>
      </c>
      <c r="B17" s="5">
        <f>COUNTIF(Event_Log!$A:$A,A17)</f>
        <v/>
      </c>
      <c r="C17" s="5">
        <f>COUNTIFS(Event_Log!$A:$A,A17,Event_Log!$C:$C,"Driving Impact")</f>
        <v/>
      </c>
      <c r="D17" s="5">
        <f>COUNTIFS(Event_Log!$A:$A,A17,Event_Log!$C:$C,"Hard Braking")</f>
        <v/>
      </c>
      <c r="E17" s="5">
        <f>COUNTIFS(Event_Log!$A:$A,A17,Event_Log!$C:$C,"Hard Cornering")</f>
        <v/>
      </c>
      <c r="F17" s="5">
        <f>COUNTIFS(Event_Log!$A:$A,A17,Event_Log!$C:$C,"Hard Acceleration")</f>
        <v/>
      </c>
      <c r="G17" s="5">
        <f>COUNTIFS(Event_Log!$A:$A,A17,Event_Log!$C:$C,"Parking Impact")</f>
        <v/>
      </c>
    </row>
    <row r="18">
      <c r="A18" s="9" t="n">
        <v>46270</v>
      </c>
      <c r="B18" s="5">
        <f>COUNTIF(Event_Log!$A:$A,A18)</f>
        <v/>
      </c>
      <c r="C18" s="5">
        <f>COUNTIFS(Event_Log!$A:$A,A18,Event_Log!$C:$C,"Driving Impact")</f>
        <v/>
      </c>
      <c r="D18" s="5">
        <f>COUNTIFS(Event_Log!$A:$A,A18,Event_Log!$C:$C,"Hard Braking")</f>
        <v/>
      </c>
      <c r="E18" s="5">
        <f>COUNTIFS(Event_Log!$A:$A,A18,Event_Log!$C:$C,"Hard Cornering")</f>
        <v/>
      </c>
      <c r="F18" s="5">
        <f>COUNTIFS(Event_Log!$A:$A,A18,Event_Log!$C:$C,"Hard Acceleration")</f>
        <v/>
      </c>
      <c r="G18" s="5">
        <f>COUNTIFS(Event_Log!$A:$A,A18,Event_Log!$C:$C,"Parking Impact")</f>
        <v/>
      </c>
    </row>
    <row r="19">
      <c r="A19" s="3" t="inlineStr">
        <is>
          <t>Counts fill in as you enter events on Event_Log. Fleeta showed ~40+ on 04/09 and 17 (07:03-08:34) on 05/09 at first look.</t>
        </is>
      </c>
      <c r="B19" s="2" t="n"/>
      <c r="C19" s="2" t="n"/>
      <c r="D19" s="2" t="n"/>
      <c r="E19" s="2" t="n"/>
      <c r="F19" s="2" t="n"/>
      <c r="G19" s="2" t="n"/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3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6" customWidth="1" min="13" max="13"/>
    <col width="90" customWidth="1" min="14" max="14"/>
  </cols>
  <sheetData>
    <row r="1">
      <c r="A1" s="3" t="inlineStr">
        <is>
          <t>Driver timeline from ServiceM8 (all times local AEST, hh:mm:ss). Camera-event column counts Event_Log rows falling in each leg's travel window.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4" t="inlineStr">
        <is>
          <t>Date</t>
        </is>
      </c>
      <c r="B2" s="4" t="inlineStr">
        <is>
          <t>Leg</t>
        </is>
      </c>
      <c r="C2" s="4" t="inlineStr">
        <is>
          <t>To (job / suburb)</t>
        </is>
      </c>
      <c r="D2" s="4" t="inlineStr">
        <is>
          <t>Job #</t>
        </is>
      </c>
      <c r="E2" s="4" t="inlineStr">
        <is>
          <t>Booked</t>
        </is>
      </c>
      <c r="F2" s="4" t="inlineStr">
        <is>
          <t>On-the-way SMS</t>
        </is>
      </c>
      <c r="G2" s="4" t="inlineStr">
        <is>
          <t>Travel start (derived)</t>
        </is>
      </c>
      <c r="H2" s="4" t="inlineStr">
        <is>
          <t>Check-in</t>
        </is>
      </c>
      <c r="I2" s="4" t="inlineStr">
        <is>
          <t>Check-out</t>
        </is>
      </c>
      <c r="J2" s="4" t="inlineStr">
        <is>
          <t>Travel time</t>
        </is>
      </c>
      <c r="K2" s="4" t="inlineStr">
        <is>
          <t>On-site time</t>
        </is>
      </c>
      <c r="L2" s="4" t="inlineStr">
        <is>
          <t>Camera events in travel window</t>
        </is>
      </c>
      <c r="M2" s="4" t="inlineStr">
        <is>
          <t>Flag</t>
        </is>
      </c>
      <c r="N2" s="4" t="inlineStr">
        <is>
          <t>Note (source: ServiceM8 diary)</t>
        </is>
      </c>
    </row>
    <row r="3">
      <c r="A3" s="10" t="n">
        <v>46269</v>
      </c>
      <c r="B3" s="5" t="n">
        <v>1</v>
      </c>
      <c r="C3" s="5" t="inlineStr">
        <is>
          <t>Sunnybank - commercial food premises</t>
        </is>
      </c>
      <c r="D3" s="5" t="inlineStr">
        <is>
          <t>24795</t>
        </is>
      </c>
      <c r="E3" s="11" t="n">
        <v>0.2708333333333333</v>
      </c>
      <c r="F3" s="11" t="n">
        <v>0.2548611111111111</v>
      </c>
      <c r="G3" s="11" t="n">
        <v>0.2547106481481481</v>
      </c>
      <c r="H3" s="11" t="n">
        <v>0.26875</v>
      </c>
      <c r="I3" s="11" t="n">
        <v>0.2972222222222222</v>
      </c>
      <c r="J3" s="12" t="n">
        <v>0.01403935185185185</v>
      </c>
      <c r="K3" s="12" t="n">
        <v>0.02849537037037037</v>
      </c>
      <c r="L3" s="5">
        <f>COUNTIFS(Event_Log!$A:$A,A3,Event_Log!$B:$B,"&gt;="&amp;G3,Event_Log!$B:$B,"&lt;="&amp;H3)</f>
        <v/>
      </c>
      <c r="M3" s="5" t="inlineStr"/>
      <c r="N3" s="5" t="inlineStr">
        <is>
          <t>On-the-way SMS sent twice (06:07, 06:23). Booking note: someone on site from 06:30.</t>
        </is>
      </c>
    </row>
    <row r="4">
      <c r="A4" s="13" t="n">
        <v>46269</v>
      </c>
      <c r="B4" s="7" t="n">
        <v>2</v>
      </c>
      <c r="C4" s="7" t="inlineStr">
        <is>
          <t>Fortitude Valley - German cockroach</t>
        </is>
      </c>
      <c r="D4" s="7" t="inlineStr">
        <is>
          <t>24316</t>
        </is>
      </c>
      <c r="E4" s="14" t="n">
        <v>0.3541666666666667</v>
      </c>
      <c r="F4" s="14" t="n">
        <v>0.3256944444444445</v>
      </c>
      <c r="G4" s="14" t="n">
        <v>0.3260416666666667</v>
      </c>
      <c r="H4" s="14" t="n">
        <v>0.3340277777777778</v>
      </c>
      <c r="I4" s="14" t="n">
        <v>0.3715277777777778</v>
      </c>
      <c r="J4" s="15" t="n">
        <v>0.008125</v>
      </c>
      <c r="K4" s="15" t="n">
        <v>0.03753472222222222</v>
      </c>
      <c r="L4" s="7">
        <f>COUNTIFS(Event_Log!$A:$A,A4,Event_Log!$B:$B,"&gt;="&amp;G4,Event_Log!$B:$B,"&lt;="&amp;H4)</f>
        <v/>
      </c>
      <c r="M4" s="7" t="inlineStr">
        <is>
          <t>Gap</t>
        </is>
      </c>
      <c r="N4" s="7" t="inlineStr">
        <is>
          <t>07:08-07:49 (41 min) between check-out and travel start is unaccounted. 06:50 SMS to client 'technician delayed on a previous job' was sent while still at Sunnybank.</t>
        </is>
      </c>
    </row>
    <row r="5">
      <c r="A5" s="10" t="n">
        <v>46269</v>
      </c>
      <c r="B5" s="5" t="n">
        <v>3</v>
      </c>
      <c r="C5" s="5" t="inlineStr">
        <is>
          <t>Thornlands - termite inspection</t>
        </is>
      </c>
      <c r="D5" s="5" t="inlineStr">
        <is>
          <t>24654</t>
        </is>
      </c>
      <c r="E5" s="11" t="n">
        <v>0.4166666666666667</v>
      </c>
      <c r="F5" s="11" t="n">
        <v>0.3722222222222222</v>
      </c>
      <c r="G5" s="11" t="n">
        <v>0.3715625</v>
      </c>
      <c r="H5" s="11" t="n">
        <v>0.4041666666666667</v>
      </c>
      <c r="I5" s="11" t="n">
        <v>0.4243055555555555</v>
      </c>
      <c r="J5" s="12" t="n">
        <v>0.03260416666666666</v>
      </c>
      <c r="K5" s="12" t="n">
        <v>0.02025462962962963</v>
      </c>
      <c r="L5" s="5">
        <f>COUNTIFS(Event_Log!$A:$A,A5,Event_Log!$B:$B,"&gt;="&amp;G5,Event_Log!$B:$B,"&lt;="&amp;H5)</f>
        <v/>
      </c>
      <c r="M5" s="5" t="inlineStr">
        <is>
          <t>Long leg</t>
        </is>
      </c>
      <c r="N5" s="5" t="inlineStr">
        <is>
          <t>Inner city to bayside, ~32 km, motorway. 48-min ETA quoted.</t>
        </is>
      </c>
    </row>
    <row r="6">
      <c r="A6" s="10" t="n">
        <v>46269</v>
      </c>
      <c r="B6" s="5" t="n">
        <v>4</v>
      </c>
      <c r="C6" s="5" t="inlineStr">
        <is>
          <t>Murarrie - general pest</t>
        </is>
      </c>
      <c r="D6" s="5" t="inlineStr">
        <is>
          <t>24740</t>
        </is>
      </c>
      <c r="E6" s="11" t="n">
        <v>0.4791666666666667</v>
      </c>
      <c r="F6" s="11" t="n">
        <v>0.4284722222222222</v>
      </c>
      <c r="G6" s="11" t="n">
        <v>0.4256134259259259</v>
      </c>
      <c r="H6" s="11" t="n">
        <v>0.4520833333333333</v>
      </c>
      <c r="I6" s="11" t="n">
        <v>0.4784722222222222</v>
      </c>
      <c r="J6" s="12" t="n">
        <v>0.02646990740740741</v>
      </c>
      <c r="K6" s="12" t="n">
        <v>0.02635416666666667</v>
      </c>
      <c r="L6" s="5">
        <f>COUNTIFS(Event_Log!$A:$A,A6,Event_Log!$B:$B,"&gt;="&amp;G6,Event_Log!$B:$B,"&lt;="&amp;H6)</f>
        <v/>
      </c>
      <c r="M6" s="5" t="inlineStr"/>
      <c r="N6" s="5" t="inlineStr">
        <is>
          <t>Arrived 39 min before booking.</t>
        </is>
      </c>
    </row>
    <row r="7">
      <c r="A7" s="10" t="n">
        <v>46269</v>
      </c>
      <c r="B7" s="5" t="n">
        <v>5</v>
      </c>
      <c r="C7" s="5" t="inlineStr">
        <is>
          <t>Morayfield - general pest</t>
        </is>
      </c>
      <c r="D7" s="5" t="inlineStr">
        <is>
          <t>24769</t>
        </is>
      </c>
      <c r="E7" s="11" t="n">
        <v>0.5208333333333334</v>
      </c>
      <c r="F7" s="11" t="n">
        <v>0.4784722222222222</v>
      </c>
      <c r="G7" s="11" t="n">
        <v>0.4789351851851852</v>
      </c>
      <c r="H7" s="11" t="n">
        <v>0.5201388888888889</v>
      </c>
      <c r="I7" s="11" t="n">
        <v>0.5576388888888889</v>
      </c>
      <c r="J7" s="12" t="n">
        <v>0.0412037037037037</v>
      </c>
      <c r="K7" s="12" t="n">
        <v>0.0377662037037037</v>
      </c>
      <c r="L7" s="5">
        <f>COUNTIFS(Event_Log!$A:$A,A7,Event_Log!$B:$B,"&gt;="&amp;G7,Event_Log!$B:$B,"&lt;="&amp;H7)</f>
        <v/>
      </c>
      <c r="M7" s="5" t="inlineStr">
        <is>
          <t>Long leg</t>
        </is>
      </c>
      <c r="N7" s="5" t="inlineStr">
        <is>
          <t>Murarrie to Morayfield ~55 km via Gateway / Bruce Hwy. Longest motorway run of the day.</t>
        </is>
      </c>
    </row>
    <row r="8">
      <c r="A8" s="13" t="n">
        <v>46269</v>
      </c>
      <c r="B8" s="7" t="n">
        <v>6</v>
      </c>
      <c r="C8" s="7" t="inlineStr">
        <is>
          <t>Narangba - 'drop cash' (staff home address)</t>
        </is>
      </c>
      <c r="D8" s="7" t="inlineStr">
        <is>
          <t>24244</t>
        </is>
      </c>
      <c r="E8" s="14" t="n">
        <v>0.5729166666666666</v>
      </c>
      <c r="F8" s="14" t="n">
        <v>0.5590277777777778</v>
      </c>
      <c r="G8" s="14" t="n">
        <v>0.5588194444444444</v>
      </c>
      <c r="H8" s="14" t="n">
        <v>0.56875</v>
      </c>
      <c r="I8" s="14" t="n">
        <v>0.5694444444444444</v>
      </c>
      <c r="J8" s="15" t="n">
        <v>0.010625</v>
      </c>
      <c r="K8" s="15" t="n">
        <v>0.0003819444444444445</v>
      </c>
      <c r="L8" s="7">
        <f>COUNTIFS(Event_Log!$A:$A,A8,Event_Log!$B:$B,"&gt;="&amp;G8,Event_Log!$B:$B,"&lt;="&amp;H8)</f>
        <v/>
      </c>
      <c r="M8" s="7" t="inlineStr">
        <is>
          <t>Non-customer stop</t>
        </is>
      </c>
      <c r="N8" s="7" t="inlineStr">
        <is>
          <t>33 seconds on site. Job card title 'ash p', description 'drop cash'. Confirm this errand was authorised and what was dropped.</t>
        </is>
      </c>
    </row>
    <row r="9">
      <c r="A9" s="10" t="n">
        <v>46269</v>
      </c>
      <c r="B9" s="5" t="n">
        <v>7</v>
      </c>
      <c r="C9" s="5" t="inlineStr">
        <is>
          <t>Murrumba Downs - Termidor HE quote</t>
        </is>
      </c>
      <c r="D9" s="5" t="inlineStr">
        <is>
          <t>24756</t>
        </is>
      </c>
      <c r="E9" s="11" t="n">
        <v>0.625</v>
      </c>
      <c r="F9" s="11" t="n">
        <v>0.5694444444444444</v>
      </c>
      <c r="G9" s="11" t="n">
        <v>0.5690625</v>
      </c>
      <c r="H9" s="11" t="n">
        <v>0.58125</v>
      </c>
      <c r="I9" s="11" t="n">
        <v>0.6006944444444444</v>
      </c>
      <c r="J9" s="12" t="n">
        <v>0.0121875</v>
      </c>
      <c r="K9" s="12" t="n">
        <v>0.01962962962962963</v>
      </c>
      <c r="L9" s="5">
        <f>COUNTIFS(Event_Log!$A:$A,A9,Event_Log!$B:$B,"&gt;="&amp;G9,Event_Log!$B:$B,"&lt;="&amp;H9)</f>
        <v/>
      </c>
      <c r="M9" s="5" t="inlineStr">
        <is>
          <t>63 min early</t>
        </is>
      </c>
      <c r="N9" s="5" t="inlineStr">
        <is>
          <t>Booked 15:00, arrived 13:57. Quote $3,969 sent 14:20. Day compressed to finish early.</t>
        </is>
      </c>
    </row>
    <row r="10">
      <c r="A10" s="10" t="n">
        <v>46269</v>
      </c>
      <c r="B10" s="5" t="n">
        <v>8</v>
      </c>
      <c r="C10" s="5" t="inlineStr">
        <is>
          <t>End of day - return (destination unknown)</t>
        </is>
      </c>
      <c r="D10" s="5" t="inlineStr"/>
      <c r="E10" s="11" t="n"/>
      <c r="F10" s="11" t="n"/>
      <c r="G10" s="11" t="n">
        <v>0.6006944444444444</v>
      </c>
      <c r="H10" s="11" t="n"/>
      <c r="I10" s="11" t="n"/>
      <c r="J10" s="12" t="n"/>
      <c r="K10" s="12" t="n"/>
      <c r="L10" s="5">
        <f>COUNTIFS(Event_Log!$A:$A,A10,Event_Log!$B:$B,"&gt;="&amp;G10,Event_Log!$B:$B,"&lt;="&amp;TIME(23,59,59))</f>
        <v/>
      </c>
      <c r="M10" s="5" t="inlineStr">
        <is>
          <t>Unmatched</t>
        </is>
      </c>
      <c r="N10" s="5" t="inlineStr">
        <is>
          <t>Match any Fleeta events after 14:25 to this leg. Trip History will show where the vehicle was parked overnight.</t>
        </is>
      </c>
    </row>
    <row r="11">
      <c r="A11" s="16" t="n">
        <v>46270</v>
      </c>
      <c r="B11" s="6" t="n">
        <v>1</v>
      </c>
      <c r="C11" s="6" t="inlineStr">
        <is>
          <t>Chapel Hill - St James Estate (follow-up)</t>
        </is>
      </c>
      <c r="D11" s="6" t="inlineStr">
        <is>
          <t>24717</t>
        </is>
      </c>
      <c r="E11" s="17" t="n">
        <v>0.3333333333333333</v>
      </c>
      <c r="F11" s="17" t="n"/>
      <c r="G11" s="17" t="n">
        <v>0.221875</v>
      </c>
      <c r="H11" s="17" t="n">
        <v>0.3240046296296296</v>
      </c>
      <c r="I11" s="17" t="n">
        <v>0.3240509259259259</v>
      </c>
      <c r="J11" s="18" t="n">
        <v>0.1021296296296296</v>
      </c>
      <c r="K11" s="18" t="n">
        <v>4.629629629629629e-05</v>
      </c>
      <c r="L11" s="6">
        <f>COUNTIFS(Event_Log!$A:$A,A11,Event_Log!$B:$B,"&gt;="&amp;G11,Event_Log!$B:$B,"&lt;="&amp;H11)</f>
        <v/>
      </c>
      <c r="M11" s="6" t="inlineStr">
        <is>
          <t>PRIORITY</t>
        </is>
      </c>
      <c r="N11" s="6" t="inlineStr">
        <is>
          <t>Travel start derived: check-out 07:46:38 minus total 02:27:08. Office to Chapel Hill is ~12 km / 25 min. 2h27m of travel is unexplained. 07:28 call to client lasted 7 s (no answer inferred). Job not performed, still Work Order. Fleeta events 07:03-07:46 fall in this window.</t>
        </is>
      </c>
    </row>
    <row r="12">
      <c r="A12" s="13" t="n">
        <v>46270</v>
      </c>
      <c r="B12" s="7" t="n">
        <v>2</v>
      </c>
      <c r="C12" s="7" t="inlineStr">
        <is>
          <t>South Brisbane - bed bug inspection/treatment</t>
        </is>
      </c>
      <c r="D12" s="7" t="inlineStr">
        <is>
          <t>24815</t>
        </is>
      </c>
      <c r="E12" s="14" t="n">
        <v>0.4583333333333333</v>
      </c>
      <c r="F12" s="14" t="n">
        <v>0.3236111111111111</v>
      </c>
      <c r="G12" s="14" t="n">
        <v>0.3241087962962963</v>
      </c>
      <c r="H12" s="14" t="n">
        <v>0.3409722222222222</v>
      </c>
      <c r="I12" s="14" t="n">
        <v>0.3476041666666667</v>
      </c>
      <c r="J12" s="15" t="n">
        <v>0.01711805555555556</v>
      </c>
      <c r="K12" s="15" t="n">
        <v>0.006435185185185185</v>
      </c>
      <c r="L12" s="7">
        <f>COUNTIFS(Event_Log!$A:$A,A12,Event_Log!$B:$B,"&gt;="&amp;G12,Event_Log!$B:$B,"&lt;="&amp;H12)</f>
        <v/>
      </c>
      <c r="M12" s="7" t="inlineStr">
        <is>
          <t>Quality</t>
        </is>
      </c>
      <c r="N12" s="7" t="inlineStr">
        <is>
          <t>07:46 called client to come early 'while nearby'. Booked as 1-hour service, on site 9 min, 1 mandatory checklist task skipped at check-out, invoiced $110. Travel from Chapel Hill 25 min is normal.</t>
        </is>
      </c>
    </row>
    <row r="13">
      <c r="A13" s="10" t="n">
        <v>46270</v>
      </c>
      <c r="B13" s="5" t="n">
        <v>3</v>
      </c>
      <c r="C13" s="5" t="inlineStr">
        <is>
          <t>Parked (Parking Impact 08:34) then off sick</t>
        </is>
      </c>
      <c r="D13" s="5" t="inlineStr"/>
      <c r="E13" s="11" t="n"/>
      <c r="F13" s="11" t="n"/>
      <c r="G13" s="11" t="n">
        <v>0.3476041666666667</v>
      </c>
      <c r="H13" s="11" t="n"/>
      <c r="I13" s="11" t="n"/>
      <c r="J13" s="12" t="n"/>
      <c r="K13" s="12" t="n"/>
      <c r="L13" s="5">
        <f>COUNTIFS(Event_Log!$A:$A,A13,Event_Log!$B:$B,"&gt;="&amp;G13,Event_Log!$B:$B,"&lt;="&amp;TIME(23,59,59))</f>
        <v/>
      </c>
      <c r="M13" s="5" t="inlineStr">
        <is>
          <t>Sick</t>
        </is>
      </c>
      <c r="N13" s="5" t="inlineStr">
        <is>
          <t>South Brisbane job is 1.8 km from office. Vehicle parked by 08:34. Jason called the 11:15 client at 11:07: 'technician went home sick'. Job 24831 reassigned to Jason and completed Sun 06/09 08:30.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19" t="inlineStr">
        <is>
          <t>Totals 04/09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1">
        <f>SUMIFS(J3:J13,A3:A13,DATE(2026,9,4))</f>
        <v/>
      </c>
      <c r="K15" s="21">
        <f>SUMIFS(K3:K13,A3:A13,DATE(2026,9,4))</f>
        <v/>
      </c>
      <c r="L15" s="20">
        <f>SUMIFS(L3:L13,A3:A13,DATE(2026,9,4))</f>
        <v/>
      </c>
      <c r="M15" s="20" t="n"/>
      <c r="N15" s="20" t="n"/>
    </row>
    <row r="16">
      <c r="A16" s="19" t="inlineStr">
        <is>
          <t>Totals 05/09</t>
        </is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1">
        <f>SUMIFS(J3:J13,A3:A13,DATE(2026,9,5))</f>
        <v/>
      </c>
      <c r="K16" s="21">
        <f>SUMIFS(K3:K13,A3:A13,DATE(2026,9,5))</f>
        <v/>
      </c>
      <c r="L16" s="20">
        <f>SUMIFS(L3:L13,A3:A13,DATE(2026,9,5))</f>
        <v/>
      </c>
      <c r="M16" s="20" t="n"/>
      <c r="N16" s="20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3" t="inlineStr">
        <is>
          <t>Context: Fri 28/08 and Sat 29/08 - no jobs allocated to Javiar (ServiceM8). Fleeta shows zero events both days. Consistent with vehicle not driven.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3" t="inlineStr">
        <is>
          <t>Travel start is derived (check-out minus total time on the ServiceM8 check-out stamp). ServiceM8 'travel' begins when the tech taps On The Way, so it is a self-reported window, not GPS.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</sheetData>
  <mergeCells count="3">
    <mergeCell ref="A18:N18"/>
    <mergeCell ref="A19:N19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0" customWidth="1" min="4" max="4"/>
    <col width="24" customWidth="1" min="5" max="5"/>
    <col width="22" customWidth="1" min="6" max="6"/>
    <col width="34" customWidth="1" min="7" max="7"/>
    <col width="11" customWidth="1" min="8" max="8"/>
    <col width="66" customWidth="1" min="9" max="9"/>
    <col width="16" customWidth="1" min="10" max="10"/>
    <col width="12" customWidth="1" min="11" max="11"/>
    <col width="14" customWidth="1" min="12" max="12"/>
    <col width="50" customWidth="1" min="13" max="13"/>
  </cols>
  <sheetData>
    <row r="1">
      <c r="A1" s="3" t="inlineStr">
        <is>
          <t>Enter one row per Fleeta Cloud event. Yellow cells are inputs. Date as dd/mm/yyyy, Time as hh:mm:ss local (confirm Fleeta is showing AEST). Row 4 is the one event already confirmed from the Fleeta calendar view.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4" t="inlineStr">
        <is>
          <t>Date</t>
        </is>
      </c>
      <c r="B3" s="4" t="inlineStr">
        <is>
          <t>Time</t>
        </is>
      </c>
      <c r="C3" s="4" t="inlineStr">
        <is>
          <t>Event type</t>
        </is>
      </c>
      <c r="D3" s="4" t="inlineStr">
        <is>
          <t>Speed (km/h)</t>
        </is>
      </c>
      <c r="E3" s="4" t="inlineStr">
        <is>
          <t>Location / suburb</t>
        </is>
      </c>
      <c r="F3" s="4" t="inlineStr">
        <is>
          <t>GPS (lat, long)</t>
        </is>
      </c>
      <c r="G3" s="4" t="inlineStr">
        <is>
          <t>Clip file name</t>
        </is>
      </c>
      <c r="H3" s="4" t="inlineStr">
        <is>
          <t>Downloaded (Y/N)</t>
        </is>
      </c>
      <c r="I3" s="4" t="inlineStr">
        <is>
          <t>SHA-256</t>
        </is>
      </c>
      <c r="J3" s="4" t="inlineStr">
        <is>
          <t>Matched Timeline leg</t>
        </is>
      </c>
      <c r="K3" s="4" t="inlineStr">
        <is>
          <t>Audio track (Y/N/Unk)</t>
        </is>
      </c>
      <c r="L3" s="4" t="inlineStr">
        <is>
          <t>Reviewed by</t>
        </is>
      </c>
      <c r="M3" s="4" t="inlineStr">
        <is>
          <t>Notes</t>
        </is>
      </c>
    </row>
    <row r="4">
      <c r="A4" s="22" t="n">
        <v>46270</v>
      </c>
      <c r="B4" s="14" t="n">
        <v>0.3569444444444445</v>
      </c>
      <c r="C4" s="7" t="inlineStr">
        <is>
          <t>Parking Impact</t>
        </is>
      </c>
      <c r="D4" s="7" t="n"/>
      <c r="E4" s="7" t="n"/>
      <c r="F4" s="7" t="n"/>
      <c r="G4" s="7" t="n"/>
      <c r="H4" s="7" t="inlineStr">
        <is>
          <t>N</t>
        </is>
      </c>
      <c r="I4" s="7" t="n"/>
      <c r="J4" s="7" t="inlineStr">
        <is>
          <t>05/09 leg 3</t>
        </is>
      </c>
      <c r="K4" s="7" t="inlineStr">
        <is>
          <t>Unk</t>
        </is>
      </c>
      <c r="L4" s="7" t="n"/>
      <c r="M4" s="7" t="inlineStr">
        <is>
          <t>Seen in Fleeta calendar 06/09. Vehicle parked ~14 min after South Brisbane check-out. Clip not yet downloaded.</t>
        </is>
      </c>
    </row>
    <row r="5">
      <c r="A5" s="22" t="n"/>
      <c r="B5" s="14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22" t="n"/>
      <c r="B6" s="14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22" t="n"/>
      <c r="B7" s="14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>
      <c r="A8" s="22" t="n"/>
      <c r="B8" s="14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22" t="n"/>
      <c r="B9" s="14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A10" s="22" t="n"/>
      <c r="B10" s="14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22" t="n"/>
      <c r="B11" s="14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22" t="n"/>
      <c r="B12" s="14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22" t="n"/>
      <c r="B13" s="14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22" t="n"/>
      <c r="B14" s="14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22" t="n"/>
      <c r="B15" s="14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>
      <c r="A16" s="22" t="n"/>
      <c r="B16" s="14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22" t="n"/>
      <c r="B17" s="14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>
      <c r="A18" s="22" t="n"/>
      <c r="B18" s="14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22" t="n"/>
      <c r="B19" s="14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>
      <c r="A20" s="22" t="n"/>
      <c r="B20" s="14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22" t="n"/>
      <c r="B21" s="14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>
      <c r="A22" s="22" t="n"/>
      <c r="B22" s="14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22" t="n"/>
      <c r="B23" s="14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>
      <c r="A24" s="22" t="n"/>
      <c r="B24" s="14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>
      <c r="A25" s="22" t="n"/>
      <c r="B25" s="14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>
      <c r="A26" s="22" t="n"/>
      <c r="B26" s="14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22" t="n"/>
      <c r="B27" s="14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>
      <c r="A28" s="22" t="n"/>
      <c r="B28" s="14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22" t="n"/>
      <c r="B29" s="14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>
      <c r="A30" s="22" t="n"/>
      <c r="B30" s="14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>
      <c r="A31" s="22" t="n"/>
      <c r="B31" s="14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>
      <c r="A32" s="22" t="n"/>
      <c r="B32" s="14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22" t="n"/>
      <c r="B33" s="14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>
      <c r="A34" s="22" t="n"/>
      <c r="B34" s="14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22" t="n"/>
      <c r="B35" s="14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>
      <c r="A36" s="22" t="n"/>
      <c r="B36" s="14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>
      <c r="A37" s="22" t="n"/>
      <c r="B37" s="14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22" t="n"/>
      <c r="B38" s="14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</row>
    <row r="39">
      <c r="A39" s="22" t="n"/>
      <c r="B39" s="14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22" t="n"/>
      <c r="B40" s="14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</row>
    <row r="41">
      <c r="A41" s="22" t="n"/>
      <c r="B41" s="14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22" t="n"/>
      <c r="B42" s="14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</row>
    <row r="43">
      <c r="A43" s="22" t="n"/>
      <c r="B43" s="14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>
      <c r="A44" s="22" t="n"/>
      <c r="B44" s="14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22" t="n"/>
      <c r="B45" s="14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>
      <c r="A46" s="22" t="n"/>
      <c r="B46" s="14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22" t="n"/>
      <c r="B47" s="14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>
      <c r="A48" s="22" t="n"/>
      <c r="B48" s="14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  <row r="49">
      <c r="A49" s="22" t="n"/>
      <c r="B49" s="14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>
      <c r="A50" s="22" t="n"/>
      <c r="B50" s="14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</row>
    <row r="51">
      <c r="A51" s="22" t="n"/>
      <c r="B51" s="14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>
      <c r="A52" s="22" t="n"/>
      <c r="B52" s="14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</row>
    <row r="53">
      <c r="A53" s="22" t="n"/>
      <c r="B53" s="14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>
      <c r="A54" s="22" t="n"/>
      <c r="B54" s="14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</row>
    <row r="55">
      <c r="A55" s="22" t="n"/>
      <c r="B55" s="14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>
      <c r="A56" s="22" t="n"/>
      <c r="B56" s="14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</row>
    <row r="57">
      <c r="A57" s="22" t="n"/>
      <c r="B57" s="14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>
      <c r="A58" s="22" t="n"/>
      <c r="B58" s="14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</row>
    <row r="59">
      <c r="A59" s="22" t="n"/>
      <c r="B59" s="14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>
      <c r="A60" s="22" t="n"/>
      <c r="B60" s="14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</row>
    <row r="61">
      <c r="A61" s="22" t="n"/>
      <c r="B61" s="14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>
      <c r="A62" s="22" t="n"/>
      <c r="B62" s="14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</row>
    <row r="63">
      <c r="A63" s="22" t="n"/>
      <c r="B63" s="14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>
      <c r="A64" s="22" t="n"/>
      <c r="B64" s="14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</row>
    <row r="65">
      <c r="A65" s="22" t="n"/>
      <c r="B65" s="14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>
      <c r="A66" s="22" t="n"/>
      <c r="B66" s="14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</row>
    <row r="67">
      <c r="A67" s="22" t="n"/>
      <c r="B67" s="14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>
      <c r="A68" s="22" t="n"/>
      <c r="B68" s="14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</row>
    <row r="69">
      <c r="A69" s="22" t="n"/>
      <c r="B69" s="14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>
      <c r="A70" s="22" t="n"/>
      <c r="B70" s="14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</row>
    <row r="71">
      <c r="A71" s="22" t="n"/>
      <c r="B71" s="14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>
      <c r="A72" s="22" t="n"/>
      <c r="B72" s="14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</row>
    <row r="73">
      <c r="A73" s="22" t="n"/>
      <c r="B73" s="14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>
      <c r="A74" s="22" t="n"/>
      <c r="B74" s="14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</row>
    <row r="75">
      <c r="A75" s="22" t="n"/>
      <c r="B75" s="14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>
      <c r="A76" s="22" t="n"/>
      <c r="B76" s="14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</row>
    <row r="77">
      <c r="A77" s="22" t="n"/>
      <c r="B77" s="14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>
      <c r="A78" s="22" t="n"/>
      <c r="B78" s="14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</row>
    <row r="79">
      <c r="A79" s="22" t="n"/>
      <c r="B79" s="14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>
      <c r="A80" s="22" t="n"/>
      <c r="B80" s="14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</row>
    <row r="81">
      <c r="A81" s="22" t="n"/>
      <c r="B81" s="14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>
      <c r="A82" s="22" t="n"/>
      <c r="B82" s="14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</row>
    <row r="83">
      <c r="A83" s="22" t="n"/>
      <c r="B83" s="14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>
      <c r="A84" s="22" t="n"/>
      <c r="B84" s="14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</row>
    <row r="85">
      <c r="A85" s="22" t="n"/>
      <c r="B85" s="14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>
      <c r="A86" s="22" t="n"/>
      <c r="B86" s="14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</row>
    <row r="87">
      <c r="A87" s="22" t="n"/>
      <c r="B87" s="14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>
      <c r="A88" s="22" t="n"/>
      <c r="B88" s="14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</row>
    <row r="89">
      <c r="A89" s="22" t="n"/>
      <c r="B89" s="14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>
      <c r="A90" s="22" t="n"/>
      <c r="B90" s="14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</row>
    <row r="91">
      <c r="A91" s="22" t="n"/>
      <c r="B91" s="14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>
      <c r="A92" s="22" t="n"/>
      <c r="B92" s="14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</row>
    <row r="93">
      <c r="A93" s="22" t="n"/>
      <c r="B93" s="14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>
      <c r="A94" s="22" t="n"/>
      <c r="B94" s="14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</row>
    <row r="95">
      <c r="A95" s="22" t="n"/>
      <c r="B95" s="14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>
      <c r="A96" s="22" t="n"/>
      <c r="B96" s="14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</row>
    <row r="97">
      <c r="A97" s="22" t="n"/>
      <c r="B97" s="14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</row>
    <row r="98">
      <c r="A98" s="22" t="n"/>
      <c r="B98" s="14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</row>
    <row r="99">
      <c r="A99" s="22" t="n"/>
      <c r="B99" s="14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</row>
    <row r="100">
      <c r="A100" s="22" t="n"/>
      <c r="B100" s="14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</row>
    <row r="101">
      <c r="A101" s="22" t="n"/>
      <c r="B101" s="14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>
      <c r="A102" s="22" t="n"/>
      <c r="B102" s="14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</row>
    <row r="103">
      <c r="A103" s="22" t="n"/>
      <c r="B103" s="14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>
      <c r="A104" s="22" t="n"/>
      <c r="B104" s="14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</row>
    <row r="105">
      <c r="A105" s="22" t="n"/>
      <c r="B105" s="14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>
      <c r="A106" s="22" t="n"/>
      <c r="B106" s="14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</row>
    <row r="107">
      <c r="A107" s="22" t="n"/>
      <c r="B107" s="14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>
      <c r="A108" s="22" t="n"/>
      <c r="B108" s="14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</row>
    <row r="109">
      <c r="A109" s="22" t="n"/>
      <c r="B109" s="14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>
      <c r="A110" s="22" t="n"/>
      <c r="B110" s="14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</row>
    <row r="111">
      <c r="A111" s="22" t="n"/>
      <c r="B111" s="14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>
      <c r="A112" s="22" t="n"/>
      <c r="B112" s="14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</row>
    <row r="113">
      <c r="A113" s="22" t="n"/>
      <c r="B113" s="14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>
      <c r="A114" s="22" t="n"/>
      <c r="B114" s="14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</row>
    <row r="115">
      <c r="A115" s="22" t="n"/>
      <c r="B115" s="14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>
      <c r="A116" s="22" t="n"/>
      <c r="B116" s="14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</row>
    <row r="117">
      <c r="A117" s="22" t="n"/>
      <c r="B117" s="14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>
      <c r="A118" s="22" t="n"/>
      <c r="B118" s="14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</row>
    <row r="119">
      <c r="A119" s="22" t="n"/>
      <c r="B119" s="14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>
      <c r="A120" s="22" t="n"/>
      <c r="B120" s="14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</row>
  </sheetData>
  <mergeCells count="1">
    <mergeCell ref="A1:M1"/>
  </mergeCells>
  <dataValidations count="3">
    <dataValidation sqref="C4:C120" showDropDown="0" showInputMessage="0" showErrorMessage="0" allowBlank="1" type="list">
      <formula1>"Driving Impact,Hard Braking,Hard Cornering,Hard Acceleration,Parking Impact,Overspeed,Manual,Other"</formula1>
    </dataValidation>
    <dataValidation sqref="H4:H120" showDropDown="0" showInputMessage="0" showErrorMessage="0" allowBlank="1" type="list">
      <formula1>"Y,N"</formula1>
    </dataValidation>
    <dataValidation sqref="K4:K120" showDropDown="0" showInputMessage="0" showErrorMessage="0" allowBlank="1" type="list">
      <formula1>"Y,N,Unk"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30" customWidth="1" min="3" max="3"/>
    <col width="20" customWidth="1" min="4" max="4"/>
    <col width="14" customWidth="1" min="5" max="5"/>
    <col width="20" customWidth="1" min="6" max="6"/>
    <col width="40" customWidth="1" min="7" max="7"/>
    <col width="66" customWidth="1" min="8" max="8"/>
    <col width="26" customWidth="1" min="9" max="9"/>
    <col width="16" customWidth="1" min="10" max="10"/>
    <col width="40" customWidth="1" min="11" max="11"/>
  </cols>
  <sheetData>
    <row r="1">
      <c r="A1" s="3" t="inlineStr">
        <is>
          <t>Chain of custody. One row per file (video clip, SD image, trip export, ServiceM8 diary PDF, call recording). Hash with: certutil -hashfile &lt;file&gt; SHA256 (Windows) or shasum -a 256 &lt;file&gt; (Mac). Never edit originals; work on copies.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4" t="inlineStr">
        <is>
          <t>Ref</t>
        </is>
      </c>
      <c r="B3" s="4" t="inlineStr">
        <is>
          <t>Source</t>
        </is>
      </c>
      <c r="C3" s="4" t="inlineStr">
        <is>
          <t>Original file name</t>
        </is>
      </c>
      <c r="D3" s="4" t="inlineStr">
        <is>
          <t>Event / content date-time</t>
        </is>
      </c>
      <c r="E3" s="4" t="inlineStr">
        <is>
          <t>Collected by</t>
        </is>
      </c>
      <c r="F3" s="4" t="inlineStr">
        <is>
          <t>Collected at (date-time)</t>
        </is>
      </c>
      <c r="G3" s="4" t="inlineStr">
        <is>
          <t>Stored at (path / drive)</t>
        </is>
      </c>
      <c r="H3" s="4" t="inlineStr">
        <is>
          <t>SHA-256</t>
        </is>
      </c>
      <c r="I3" s="4" t="inlineStr">
        <is>
          <t>Copies given to (who, when)</t>
        </is>
      </c>
      <c r="J3" s="4" t="inlineStr">
        <is>
          <t>Retention hold until</t>
        </is>
      </c>
      <c r="K3" s="4" t="inlineStr">
        <is>
          <t>Notes</t>
        </is>
      </c>
    </row>
    <row r="4">
      <c r="A4" s="7" t="inlineStr">
        <is>
          <t>EV-001</t>
        </is>
      </c>
      <c r="B4" s="7" t="inlineStr">
        <is>
          <t>Fleeta Cloud</t>
        </is>
      </c>
      <c r="C4" s="7" t="inlineStr">
        <is>
          <t>20260905_083400_PF.mp4</t>
        </is>
      </c>
      <c r="D4" s="7" t="inlineStr">
        <is>
          <t>05/09/2026 08:34</t>
        </is>
      </c>
      <c r="E4" s="7" t="inlineStr">
        <is>
          <t>J. Cartledge</t>
        </is>
      </c>
      <c r="F4" s="7" t="inlineStr">
        <is>
          <t>07/09/2026 09:00</t>
        </is>
      </c>
      <c r="G4" s="7" t="inlineStr">
        <is>
          <t>SAB-HR\Vehicle-Review-2026-09\clips\</t>
        </is>
      </c>
      <c r="H4" s="7" t="inlineStr">
        <is>
          <t>(paste hash)</t>
        </is>
      </c>
      <c r="I4" s="7" t="inlineStr">
        <is>
          <t>-</t>
        </is>
      </c>
      <c r="J4" s="7" t="inlineStr">
        <is>
          <t>05/09/2027</t>
        </is>
      </c>
      <c r="K4" s="23" t="inlineStr">
        <is>
          <t>EXAMPLE ROW - overwrite with the first real clip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</sheetData>
  <mergeCells count="1">
    <mergeCell ref="A1:K1"/>
  </mergeCells>
  <dataValidations count="1">
    <dataValidation sqref="B4:B60" showDropDown="0" showInputMessage="0" showErrorMessage="0" allowBlank="1" type="list">
      <formula1>"Fleeta Cloud,SD card image,SD card clip,Fleeta Trip History export,ServiceM8 diary PDF,Phone call recording,Witness statement,Other"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2" customWidth="1" min="2" max="2"/>
    <col width="78" customWidth="1" min="3" max="3"/>
    <col width="18" customWidth="1" min="4" max="4"/>
    <col width="11" customWidth="1" min="5" max="5"/>
    <col width="12" customWidth="1" min="6" max="6"/>
  </cols>
  <sheetData>
    <row r="1">
      <c r="A1" s="4" t="inlineStr">
        <is>
          <t>#</t>
        </is>
      </c>
      <c r="B1" s="4" t="inlineStr">
        <is>
          <t>Gap / question</t>
        </is>
      </c>
      <c r="C1" s="4" t="inlineStr">
        <is>
          <t>Why it matters</t>
        </is>
      </c>
      <c r="D1" s="4" t="inlineStr">
        <is>
          <t>Owner</t>
        </is>
      </c>
      <c r="E1" s="4" t="inlineStr">
        <is>
          <t>Due</t>
        </is>
      </c>
      <c r="F1" s="4" t="inlineStr">
        <is>
          <t>Status</t>
        </is>
      </c>
    </row>
    <row r="2">
      <c r="A2" s="5" t="n">
        <v>1</v>
      </c>
      <c r="B2" s="5" t="inlineStr">
        <is>
          <t>Where was the vehicle 05:19-07:46 on Sat 05/09?</t>
        </is>
      </c>
      <c r="C2" s="5" t="inlineStr">
        <is>
          <t>2h27m of self-reported travel for a 25-min drive, then 4 s on site. Fleeta Trip History answers this.</t>
        </is>
      </c>
      <c r="D2" s="5" t="inlineStr">
        <is>
          <t>Browser session</t>
        </is>
      </c>
      <c r="E2" s="10" t="n">
        <v>46272</v>
      </c>
      <c r="F2" s="5" t="inlineStr">
        <is>
          <t>Open</t>
        </is>
      </c>
    </row>
    <row r="3">
      <c r="A3" s="5" t="n">
        <v>2</v>
      </c>
      <c r="B3" s="5" t="inlineStr">
        <is>
          <t>Who is the passenger, what is their role, have they complained?</t>
        </is>
      </c>
      <c r="C3" s="5" t="inlineStr">
        <is>
          <t>Decides the process: WHS driving conduct vs harassment complaint (positive duty). Complainant welfare comes first.</t>
        </is>
      </c>
      <c r="D3" s="5" t="inlineStr">
        <is>
          <t>Jason</t>
        </is>
      </c>
      <c r="E3" s="10" t="n">
        <v>46272</v>
      </c>
      <c r="F3" s="5" t="inlineStr">
        <is>
          <t>Open</t>
        </is>
      </c>
    </row>
    <row r="4">
      <c r="A4" s="5" t="n">
        <v>3</v>
      </c>
      <c r="B4" s="5" t="inlineStr">
        <is>
          <t>Is cabin audio ON in the camera config?</t>
        </is>
      </c>
      <c r="C4" s="5" t="inlineStr">
        <is>
          <t>If ON, recording may breach Invasion of Privacy Act 1971 (Qld) s43. Do not listen or share before legal advice.</t>
        </is>
      </c>
      <c r="D4" s="5" t="inlineStr">
        <is>
          <t>Jason</t>
        </is>
      </c>
      <c r="E4" s="10" t="n">
        <v>46272</v>
      </c>
      <c r="F4" s="5" t="inlineStr">
        <is>
          <t>Open</t>
        </is>
      </c>
    </row>
    <row r="5">
      <c r="A5" s="5" t="n">
        <v>4</v>
      </c>
      <c r="B5" s="5" t="inlineStr">
        <is>
          <t>Has Javiar signed a vehicle use / camera monitoring policy?</t>
        </is>
      </c>
      <c r="C5" s="5" t="inlineStr">
        <is>
          <t>Notice of monitoring underpins fair use of the footage and any disciplinary reliance on it.</t>
        </is>
      </c>
      <c r="D5" s="5" t="inlineStr">
        <is>
          <t>Ashleigh (HR file)</t>
        </is>
      </c>
      <c r="E5" s="10" t="n">
        <v>46272</v>
      </c>
      <c r="F5" s="5" t="inlineStr">
        <is>
          <t>Open</t>
        </is>
      </c>
    </row>
    <row r="6">
      <c r="A6" s="5" t="n">
        <v>5</v>
      </c>
      <c r="B6" s="5" t="inlineStr">
        <is>
          <t>Fleeta Cloud event retention period on the current plan</t>
        </is>
      </c>
      <c r="C6" s="5" t="inlineStr">
        <is>
          <t>Sets the hard deadline for downloads. Assume short; download this week regardless.</t>
        </is>
      </c>
      <c r="D6" s="5" t="inlineStr">
        <is>
          <t>Browser session</t>
        </is>
      </c>
      <c r="E6" s="10" t="n">
        <v>46272</v>
      </c>
      <c r="F6" s="5" t="inlineStr">
        <is>
          <t>Open</t>
        </is>
      </c>
    </row>
    <row r="7">
      <c r="A7" s="5" t="n">
        <v>6</v>
      </c>
      <c r="B7" s="5" t="inlineStr">
        <is>
          <t>Pull and image the SD card before September overwrites</t>
        </is>
      </c>
      <c r="C7" s="5" t="inlineStr">
        <is>
          <t>Card holds continuous footage between triggers for 04-05/09. Cloud does not.</t>
        </is>
      </c>
      <c r="D7" s="5" t="inlineStr">
        <is>
          <t>Jason</t>
        </is>
      </c>
      <c r="E7" s="10" t="n">
        <v>46272</v>
      </c>
      <c r="F7" s="5" t="inlineStr">
        <is>
          <t>Open</t>
        </is>
      </c>
    </row>
    <row r="8">
      <c r="A8" s="5" t="n">
        <v>7</v>
      </c>
      <c r="B8" s="5" t="inlineStr">
        <is>
          <t>Was the Narangba 'drop cash' stop (04/09 13:39) authorised, and what was dropped?</t>
        </is>
      </c>
      <c r="C8" s="5" t="inlineStr">
        <is>
          <t>Non-customer stop at a staff home on a job card. Needs a one-line explanation on file.</t>
        </is>
      </c>
      <c r="D8" s="5" t="inlineStr">
        <is>
          <t>Jason / Ashleigh</t>
        </is>
      </c>
      <c r="E8" s="10" t="n">
        <v>46273</v>
      </c>
      <c r="F8" s="5" t="inlineStr">
        <is>
          <t>Open</t>
        </is>
      </c>
    </row>
    <row r="9">
      <c r="A9" s="5" t="n">
        <v>8</v>
      </c>
      <c r="B9" s="5" t="inlineStr">
        <is>
          <t>Was Javiar rostered on Sat 05/09 and was he told the 08:00 Chapel Hill scope?</t>
        </is>
      </c>
      <c r="C9" s="5" t="inlineStr">
        <is>
          <t>Booked 04/09 12:29 by Ashleigh. Confirms expectation vs outcome (job not done).</t>
        </is>
      </c>
      <c r="D9" s="5" t="inlineStr">
        <is>
          <t>Ashleigh</t>
        </is>
      </c>
      <c r="E9" s="10" t="n">
        <v>46273</v>
      </c>
      <c r="F9" s="5" t="inlineStr">
        <is>
          <t>Open</t>
        </is>
      </c>
    </row>
    <row r="10">
      <c r="A10" s="5" t="n">
        <v>9</v>
      </c>
      <c r="B10" s="5" t="inlineStr">
        <is>
          <t>Who spoke to Javiar about going home sick on 05/09, at what time?</t>
        </is>
      </c>
      <c r="C10" s="5" t="inlineStr">
        <is>
          <t>Fixes the end of the driving window and whether the vehicle moved again that day.</t>
        </is>
      </c>
      <c r="D10" s="5" t="inlineStr">
        <is>
          <t>Jason</t>
        </is>
      </c>
      <c r="E10" s="10" t="n">
        <v>46273</v>
      </c>
      <c r="F10" s="5" t="inlineStr">
        <is>
          <t>Open</t>
        </is>
      </c>
    </row>
    <row r="11">
      <c r="A11" s="5" t="n">
        <v>10</v>
      </c>
      <c r="B11" s="5" t="inlineStr">
        <is>
          <t>Is the 'conduct issue' driving behaviour, treatment of the passenger, unauthorised use, or all three?</t>
        </is>
      </c>
      <c r="C11" s="5" t="inlineStr">
        <is>
          <t>Each allegation must be put separately and specifically in writing before any meeting.</t>
        </is>
      </c>
      <c r="D11" s="5" t="inlineStr">
        <is>
          <t>Jason</t>
        </is>
      </c>
      <c r="E11" s="10" t="n">
        <v>46273</v>
      </c>
      <c r="F11" s="5" t="inlineStr">
        <is>
          <t>Open</t>
        </is>
      </c>
    </row>
    <row r="12">
      <c r="A12" s="5" t="n">
        <v>11</v>
      </c>
      <c r="B12" s="5" t="inlineStr">
        <is>
          <t>Who runs the meeting given the family relationship?</t>
        </is>
      </c>
      <c r="C12" s="5" t="inlineStr">
        <is>
          <t>Perceived bias. An external HR adviser or independent manager should conduct and minute it.</t>
        </is>
      </c>
      <c r="D12" s="5" t="inlineStr">
        <is>
          <t>Jason</t>
        </is>
      </c>
      <c r="E12" s="10" t="n">
        <v>46274</v>
      </c>
      <c r="F12" s="5" t="inlineStr">
        <is>
          <t>Open</t>
        </is>
      </c>
    </row>
    <row r="13">
      <c r="A13" s="5" t="n">
        <v>12</v>
      </c>
      <c r="B13" s="5" t="inlineStr">
        <is>
          <t>Confirm Fleeta timestamps are AEST and match ServiceM8</t>
        </is>
      </c>
      <c r="C13" s="5" t="inlineStr">
        <is>
          <t>A timezone offset would misalign every event to the wrong leg.</t>
        </is>
      </c>
      <c r="D13" s="5" t="inlineStr">
        <is>
          <t>Browser session</t>
        </is>
      </c>
      <c r="E13" s="10" t="n">
        <v>46272</v>
      </c>
      <c r="F13" s="5" t="inlineStr">
        <is>
          <t>Open</t>
        </is>
      </c>
    </row>
    <row r="14">
      <c r="A14" s="5" t="n">
        <v>13</v>
      </c>
      <c r="B14" s="5" t="inlineStr">
        <is>
          <t>Bed bug job 24815: was a 9-minute inspection with a skipped mandatory task acceptable?</t>
        </is>
      </c>
      <c r="C14" s="5" t="inlineStr">
        <is>
          <t>Separate service-quality/performance matter. Keep it out of the conduct allegations unless relevant to the day.</t>
        </is>
      </c>
      <c r="D14" s="5" t="inlineStr">
        <is>
          <t>Jason</t>
        </is>
      </c>
      <c r="E14" s="10" t="n">
        <v>46274</v>
      </c>
      <c r="F14" s="5" t="inlineStr">
        <is>
          <t>Open</t>
        </is>
      </c>
    </row>
  </sheetData>
  <dataValidations count="1">
    <dataValidation sqref="F2:F14" showDropDown="0" showInputMessage="0" showErrorMessage="0" allowBlank="1" type="list">
      <formula1>"Open,In progress,Closed,Blocked"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6" customWidth="1" min="2" max="2"/>
    <col width="22" customWidth="1" min="3" max="3"/>
    <col width="11" customWidth="1" min="4" max="4"/>
    <col width="10" customWidth="1" min="5" max="5"/>
    <col width="40" customWidth="1" min="6" max="6"/>
  </cols>
  <sheetData>
    <row r="1">
      <c r="A1" s="4" t="inlineStr">
        <is>
          <t>Step</t>
        </is>
      </c>
      <c r="B1" s="4" t="inlineStr">
        <is>
          <t>Action</t>
        </is>
      </c>
      <c r="C1" s="4" t="inlineStr">
        <is>
          <t>Owner</t>
        </is>
      </c>
      <c r="D1" s="4" t="inlineStr">
        <is>
          <t>Due</t>
        </is>
      </c>
      <c r="E1" s="4" t="inlineStr">
        <is>
          <t>Done (Y/N)</t>
        </is>
      </c>
      <c r="F1" s="4" t="inlineStr">
        <is>
          <t>Evidence / note</t>
        </is>
      </c>
    </row>
    <row r="2">
      <c r="A2" s="5" t="inlineStr">
        <is>
          <t>Preserve</t>
        </is>
      </c>
      <c r="B2" s="5" t="inlineStr">
        <is>
          <t>Pull SD card, image it (full disk image, not file copy), hash, bag and label. Fit new card.</t>
        </is>
      </c>
      <c r="C2" s="5" t="inlineStr">
        <is>
          <t>Jason</t>
        </is>
      </c>
      <c r="D2" s="10" t="n">
        <v>46272</v>
      </c>
      <c r="E2" s="5" t="inlineStr">
        <is>
          <t>N</t>
        </is>
      </c>
      <c r="F2" s="5" t="n"/>
    </row>
    <row r="3">
      <c r="A3" s="5" t="inlineStr">
        <is>
          <t>Preserve</t>
        </is>
      </c>
      <c r="B3" s="5" t="inlineStr">
        <is>
          <t>Fleeta: export Trip History 04/09 and 05/09 (and 28-29/08 to close those out). Screenshot the calendar view.</t>
        </is>
      </c>
      <c r="C3" s="5" t="inlineStr">
        <is>
          <t>Browser session</t>
        </is>
      </c>
      <c r="D3" s="10" t="n">
        <v>46272</v>
      </c>
      <c r="E3" s="5" t="inlineStr">
        <is>
          <t>N</t>
        </is>
      </c>
      <c r="F3" s="5" t="n"/>
    </row>
    <row r="4">
      <c r="A4" s="5" t="inlineStr">
        <is>
          <t>Preserve</t>
        </is>
      </c>
      <c r="B4" s="5" t="inlineStr">
        <is>
          <t>Fleeta: enumerate every event 04/09 and 05/09 into Event_Log. Download all clips, hash each, log in Clip_Register.</t>
        </is>
      </c>
      <c r="C4" s="5" t="inlineStr">
        <is>
          <t>Browser session</t>
        </is>
      </c>
      <c r="D4" s="10" t="n">
        <v>46273</v>
      </c>
      <c r="E4" s="5" t="inlineStr">
        <is>
          <t>N</t>
        </is>
      </c>
      <c r="F4" s="5" t="n"/>
    </row>
    <row r="5">
      <c r="A5" s="5" t="inlineStr">
        <is>
          <t>Preserve</t>
        </is>
      </c>
      <c r="B5" s="5" t="inlineStr">
        <is>
          <t>ServiceM8: export job diaries 24717, 24815, 24831 (05/09) and 24795, 24316, 24654, 24740, 24769, 24244, 24756 (04/09) to PDF.</t>
        </is>
      </c>
      <c r="C5" s="5" t="inlineStr">
        <is>
          <t>Ashleigh</t>
        </is>
      </c>
      <c r="D5" s="10" t="n">
        <v>46273</v>
      </c>
      <c r="E5" s="5" t="inlineStr">
        <is>
          <t>N</t>
        </is>
      </c>
      <c r="F5" s="5" t="n"/>
    </row>
    <row r="6">
      <c r="A6" s="5" t="inlineStr">
        <is>
          <t>Preserve</t>
        </is>
      </c>
      <c r="B6" s="5" t="inlineStr">
        <is>
          <t>Phone system: secure recordings of calls 05/09 07:28 (Gerry) and 07:46 (Charlize) if the system stores audio.</t>
        </is>
      </c>
      <c r="C6" s="5" t="inlineStr">
        <is>
          <t>Ashleigh</t>
        </is>
      </c>
      <c r="D6" s="10" t="n">
        <v>46273</v>
      </c>
      <c r="E6" s="5" t="inlineStr">
        <is>
          <t>N</t>
        </is>
      </c>
      <c r="F6" s="5" t="n"/>
    </row>
    <row r="7">
      <c r="A7" s="5" t="inlineStr">
        <is>
          <t>Legal</t>
        </is>
      </c>
      <c r="B7" s="5" t="inlineStr">
        <is>
          <t>Confirm camera audio setting. If ON: seek legal advice before any use; consider disabling fleet-wide with written notice to staff.</t>
        </is>
      </c>
      <c r="C7" s="5" t="inlineStr">
        <is>
          <t>Jason</t>
        </is>
      </c>
      <c r="D7" s="10" t="n">
        <v>46273</v>
      </c>
      <c r="E7" s="5" t="inlineStr">
        <is>
          <t>N</t>
        </is>
      </c>
      <c r="F7" s="5" t="n"/>
    </row>
    <row r="8">
      <c r="A8" s="5" t="inlineStr">
        <is>
          <t>Legal</t>
        </is>
      </c>
      <c r="B8" s="5" t="inlineStr">
        <is>
          <t>Check HR file for signed vehicle use and monitoring policy. If none, note it and issue one going forward.</t>
        </is>
      </c>
      <c r="C8" s="5" t="inlineStr">
        <is>
          <t>Ashleigh</t>
        </is>
      </c>
      <c r="D8" s="10" t="n">
        <v>46273</v>
      </c>
      <c r="E8" s="5" t="inlineStr">
        <is>
          <t>N</t>
        </is>
      </c>
      <c r="F8" s="5" t="n"/>
    </row>
    <row r="9">
      <c r="A9" s="5" t="inlineStr">
        <is>
          <t>Scope</t>
        </is>
      </c>
      <c r="B9" s="5" t="inlineStr">
        <is>
          <t>Speak with the passenger (welfare first). Record their account. Decide if a formal complaint exists.</t>
        </is>
      </c>
      <c r="C9" s="5" t="inlineStr">
        <is>
          <t>Jason (or independent)</t>
        </is>
      </c>
      <c r="D9" s="10" t="n">
        <v>46273</v>
      </c>
      <c r="E9" s="5" t="inlineStr">
        <is>
          <t>N</t>
        </is>
      </c>
      <c r="F9" s="5" t="n"/>
    </row>
    <row r="10">
      <c r="A10" s="5" t="inlineStr">
        <is>
          <t>Scope</t>
        </is>
      </c>
      <c r="B10" s="5" t="inlineStr">
        <is>
          <t>Write each allegation as a specific, dated statement (what, when, where, which clip). No conclusions.</t>
        </is>
      </c>
      <c r="C10" s="5" t="inlineStr">
        <is>
          <t>Independent adviser</t>
        </is>
      </c>
      <c r="D10" s="10" t="n">
        <v>46274</v>
      </c>
      <c r="E10" s="5" t="inlineStr">
        <is>
          <t>N</t>
        </is>
      </c>
      <c r="F10" s="5" t="n"/>
    </row>
    <row r="11">
      <c r="A11" s="5" t="inlineStr">
        <is>
          <t>Fairness</t>
        </is>
      </c>
      <c r="B11" s="5" t="inlineStr">
        <is>
          <t>Issue written allegations + meeting invite with 24-48 h notice, right to a support person, copies of the clips relied on.</t>
        </is>
      </c>
      <c r="C11" s="5" t="inlineStr">
        <is>
          <t>Independent adviser</t>
        </is>
      </c>
      <c r="D11" s="10" t="n">
        <v>46274</v>
      </c>
      <c r="E11" s="5" t="inlineStr">
        <is>
          <t>N</t>
        </is>
      </c>
      <c r="F11" s="5" t="n"/>
    </row>
    <row r="12">
      <c r="A12" s="5" t="inlineStr">
        <is>
          <t>Fairness</t>
        </is>
      </c>
      <c r="B12" s="5" t="inlineStr">
        <is>
          <t>Hold the meeting. Put each allegation, hear the response, take minutes, adjourn before deciding.</t>
        </is>
      </c>
      <c r="C12" s="5" t="inlineStr">
        <is>
          <t>Independent adviser</t>
        </is>
      </c>
      <c r="D12" s="10" t="n">
        <v>46276</v>
      </c>
      <c r="E12" s="5" t="inlineStr">
        <is>
          <t>N</t>
        </is>
      </c>
      <c r="F12" s="5" t="n"/>
    </row>
    <row r="13">
      <c r="A13" s="5" t="inlineStr">
        <is>
          <t>Decide</t>
        </is>
      </c>
      <c r="B13" s="5" t="inlineStr">
        <is>
          <t>Decide on the evidence and the response. Options: coaching + written warning, final warning, or termination if serious misconduct is made out.</t>
        </is>
      </c>
      <c r="C13" s="5" t="inlineStr">
        <is>
          <t>Jason on advice</t>
        </is>
      </c>
      <c r="D13" s="10" t="n">
        <v>46279</v>
      </c>
      <c r="E13" s="5" t="inlineStr">
        <is>
          <t>N</t>
        </is>
      </c>
      <c r="F13" s="5" t="n"/>
    </row>
    <row r="14">
      <c r="A14" s="5" t="inlineStr">
        <is>
          <t>Systemise</t>
        </is>
      </c>
      <c r="B14" s="5" t="inlineStr">
        <is>
          <t>Fleet safety: telematics scoring review weekly, harsh-event threshold alerts to Jason, driver coaching SOP, passenger authorisation rule.</t>
        </is>
      </c>
      <c r="C14" s="5" t="inlineStr">
        <is>
          <t>Jason</t>
        </is>
      </c>
      <c r="D14" s="10" t="n">
        <v>46283</v>
      </c>
      <c r="E14" s="5" t="inlineStr">
        <is>
          <t>N</t>
        </is>
      </c>
      <c r="F14" s="5" t="n"/>
    </row>
  </sheetData>
  <dataValidations count="1">
    <dataValidation sqref="E2:E1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2026-09-06T12:59:20Z</dcterms:created>
  <dcterms:modified xsi:type="dcterms:W3CDTF">2026-09-06T12:59:21Z</dcterms:modified>
</cp:coreProperties>
</file>